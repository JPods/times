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iamjames/Documents/08_JPods/03_Technology/route_time/"/>
    </mc:Choice>
  </mc:AlternateContent>
  <xr:revisionPtr revIDLastSave="0" documentId="13_ncr:1_{70F54BF0-B3A8-744F-A5EB-A01F3472342A}" xr6:coauthVersionLast="47" xr6:coauthVersionMax="47" xr10:uidLastSave="{00000000-0000-0000-0000-000000000000}"/>
  <bookViews>
    <workbookView xWindow="3260" yWindow="2260" windowWidth="28040" windowHeight="17180" xr2:uid="{A6640582-3751-9B45-BA55-6E8F8A1C2D2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1" l="1"/>
  <c r="D25" i="1"/>
  <c r="D26" i="1"/>
  <c r="D27" i="1"/>
  <c r="D23" i="1"/>
  <c r="D18" i="1"/>
  <c r="D14" i="1"/>
  <c r="D9" i="1"/>
  <c r="D6" i="1"/>
</calcChain>
</file>

<file path=xl/sharedStrings.xml><?xml version="1.0" encoding="utf-8"?>
<sst xmlns="http://schemas.openxmlformats.org/spreadsheetml/2006/main" count="13" uniqueCount="12">
  <si>
    <t>seconds to load and leave</t>
  </si>
  <si>
    <t>number of people</t>
  </si>
  <si>
    <t>slots per station</t>
  </si>
  <si>
    <t>seconds/hour</t>
  </si>
  <si>
    <t>load slots</t>
  </si>
  <si>
    <t>people_load_slots</t>
  </si>
  <si>
    <t>vehicles/hr</t>
  </si>
  <si>
    <t>efficacy</t>
  </si>
  <si>
    <t>Cars/day</t>
  </si>
  <si>
    <t>hours/day</t>
  </si>
  <si>
    <t>directions</t>
  </si>
  <si>
    <t>Cars per hou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</si>
</sst>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165" fontId="0" fillId="0" borderId="0" xfId="1" applyNumberFormat="1" applyFont="1"/>
    <xf numFmtId="9" fontId="0" fillId="0" borderId="0" xfId="2" applyFont="1"/>
    <xf numFmtId="43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5EEF7-0AF2-8B44-AF4A-1EFE4DF38E64}">
  <dimension ref="B3:E27"/>
  <sheetViews>
    <sheetView tabSelected="1" workbookViewId="0">
      <selection activeCell="G23" sqref="G23"/>
    </sheetView>
  </sheetViews>
  <sheetFormatPr baseColWidth="10" defaultRowHeight="16" x14ac:dyDescent="0.2"/>
  <sheetData>
    <row r="3" spans="4:5" x14ac:dyDescent="0.2">
      <c r="D3">
        <v>3600</v>
      </c>
      <c r="E3" t="s">
        <v>3</v>
      </c>
    </row>
    <row r="5" spans="4:5" x14ac:dyDescent="0.2">
      <c r="D5">
        <v>30</v>
      </c>
      <c r="E5" t="s">
        <v>0</v>
      </c>
    </row>
    <row r="6" spans="4:5" x14ac:dyDescent="0.2">
      <c r="D6">
        <f>D3/D5</f>
        <v>120</v>
      </c>
      <c r="E6" t="s">
        <v>4</v>
      </c>
    </row>
    <row r="8" spans="4:5" x14ac:dyDescent="0.2">
      <c r="D8">
        <v>1.3</v>
      </c>
      <c r="E8" t="s">
        <v>1</v>
      </c>
    </row>
    <row r="9" spans="4:5" x14ac:dyDescent="0.2">
      <c r="D9">
        <f>D6*D8</f>
        <v>156</v>
      </c>
      <c r="E9" t="s">
        <v>5</v>
      </c>
    </row>
    <row r="11" spans="4:5" x14ac:dyDescent="0.2">
      <c r="D11">
        <v>4</v>
      </c>
      <c r="E11" t="s">
        <v>2</v>
      </c>
    </row>
    <row r="14" spans="4:5" x14ac:dyDescent="0.2">
      <c r="D14">
        <f>D6*D11</f>
        <v>480</v>
      </c>
      <c r="E14" t="s">
        <v>6</v>
      </c>
    </row>
    <row r="17" spans="2:5" x14ac:dyDescent="0.2">
      <c r="D17" s="2">
        <v>0.8</v>
      </c>
      <c r="E17" t="s">
        <v>7</v>
      </c>
    </row>
    <row r="18" spans="2:5" x14ac:dyDescent="0.2">
      <c r="D18">
        <f>D14*D17</f>
        <v>384</v>
      </c>
      <c r="E18" t="s">
        <v>6</v>
      </c>
    </row>
    <row r="20" spans="2:5" x14ac:dyDescent="0.2">
      <c r="B20" t="s">
        <v>8</v>
      </c>
      <c r="C20" s="1"/>
      <c r="D20">
        <v>8</v>
      </c>
      <c r="E20" t="s">
        <v>9</v>
      </c>
    </row>
    <row r="21" spans="2:5" x14ac:dyDescent="0.2">
      <c r="D21">
        <v>2</v>
      </c>
      <c r="E21" t="s">
        <v>10</v>
      </c>
    </row>
    <row r="23" spans="2:5" x14ac:dyDescent="0.2">
      <c r="B23" s="1">
        <v>5000</v>
      </c>
      <c r="D23" s="3">
        <f>B23/($D$20*$D$21)</f>
        <v>312.5</v>
      </c>
      <c r="E23" t="s">
        <v>11</v>
      </c>
    </row>
    <row r="24" spans="2:5" x14ac:dyDescent="0.2">
      <c r="B24" s="1">
        <v>10000</v>
      </c>
      <c r="D24" s="3">
        <f t="shared" ref="D24:D27" si="0">B24/($D$20*$D$21)</f>
        <v>625</v>
      </c>
    </row>
    <row r="25" spans="2:5" x14ac:dyDescent="0.2">
      <c r="B25" s="1">
        <v>20000</v>
      </c>
      <c r="D25" s="3">
        <f t="shared" si="0"/>
        <v>1250</v>
      </c>
    </row>
    <row r="26" spans="2:5" x14ac:dyDescent="0.2">
      <c r="B26" s="1">
        <v>30000</v>
      </c>
      <c r="D26" s="3">
        <f t="shared" si="0"/>
        <v>1875</v>
      </c>
    </row>
    <row r="27" spans="2:5" x14ac:dyDescent="0.2">
      <c r="B27" s="1">
        <v>40000</v>
      </c>
      <c r="D27" s="3">
        <f t="shared" si="0"/>
        <v>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James</dc:creator>
  <cp:lastModifiedBy>Bill James</cp:lastModifiedBy>
  <dcterms:created xsi:type="dcterms:W3CDTF">2026-04-26T12:55:07Z</dcterms:created>
  <dcterms:modified xsi:type="dcterms:W3CDTF">2026-04-26T23:36:32Z</dcterms:modified>
</cp:coreProperties>
</file>